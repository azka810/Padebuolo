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uhammad.syafrizal02\Downloads\"/>
    </mc:Choice>
  </mc:AlternateContent>
  <xr:revisionPtr revIDLastSave="0" documentId="13_ncr:1_{A22ED754-2CC2-4547-9724-C49901B9C2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 Kas" sheetId="1" r:id="rId1"/>
    <sheet name="Sisa Kas" sheetId="2" r:id="rId2"/>
    <sheet name="Dashboard" sheetId="3" r:id="rId3"/>
    <sheet name="Biaya Bulanan" sheetId="4" r:id="rId4"/>
    <sheet name="Referensi" sheetId="5" r:id="rId5"/>
    <sheet name="Panduan Impor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9" i="1" l="1"/>
  <c r="B7" i="3"/>
  <c r="G58" i="1"/>
  <c r="G57" i="1"/>
  <c r="G56" i="1"/>
  <c r="B15" i="4"/>
  <c r="B7" i="4"/>
  <c r="B5" i="3"/>
  <c r="B4" i="3"/>
  <c r="B6" i="3" s="1"/>
  <c r="C3" i="2"/>
  <c r="B3" i="2"/>
  <c r="C2" i="2"/>
  <c r="B2" i="2"/>
  <c r="B4" i="2" l="1"/>
  <c r="C4" i="2"/>
  <c r="D3" i="2"/>
  <c r="E5" i="3" s="1"/>
  <c r="D2" i="2"/>
  <c r="E4" i="3" l="1"/>
  <c r="D4" i="2"/>
</calcChain>
</file>

<file path=xl/sharedStrings.xml><?xml version="1.0" encoding="utf-8"?>
<sst xmlns="http://schemas.openxmlformats.org/spreadsheetml/2006/main" count="237" uniqueCount="71">
  <si>
    <t>Tanggal</t>
  </si>
  <si>
    <t>Sumber Dana</t>
  </si>
  <si>
    <t>Keterangan</t>
  </si>
  <si>
    <t>Kategori</t>
  </si>
  <si>
    <t>Masuk</t>
  </si>
  <si>
    <t>Keluar</t>
  </si>
  <si>
    <t>Saldo</t>
  </si>
  <si>
    <t>Catatan</t>
  </si>
  <si>
    <t>Kas Rayhan</t>
  </si>
  <si>
    <t>Saldo Awal</t>
  </si>
  <si>
    <t>Kas Azka</t>
  </si>
  <si>
    <t>Split Instalasi WIFI</t>
  </si>
  <si>
    <t>Internet</t>
  </si>
  <si>
    <t>Bayar Laundry</t>
  </si>
  <si>
    <t>Laundry</t>
  </si>
  <si>
    <t>Split Beli Lampu Depan</t>
  </si>
  <si>
    <t>Perlengkapan Rumah</t>
  </si>
  <si>
    <t>Split Beli Lampu Tengah</t>
  </si>
  <si>
    <t>Pemeliharaan Rumput</t>
  </si>
  <si>
    <t>Pemeliharaan</t>
  </si>
  <si>
    <t>Listrik April</t>
  </si>
  <si>
    <t>Listrik</t>
  </si>
  <si>
    <t>Obat Rumput</t>
  </si>
  <si>
    <t>Sewa Rumdin</t>
  </si>
  <si>
    <t>Sewa</t>
  </si>
  <si>
    <t>Listrik Mei</t>
  </si>
  <si>
    <t>Tagihan PDAM</t>
  </si>
  <si>
    <t>Air / PDAM</t>
  </si>
  <si>
    <t>Tagihan Indihome</t>
  </si>
  <si>
    <t>Listrik Juni</t>
  </si>
  <si>
    <t>Split Kulkas</t>
  </si>
  <si>
    <t>Aset Rumah</t>
  </si>
  <si>
    <t>Split Ongkir Kulkas</t>
  </si>
  <si>
    <t>Double Tip</t>
  </si>
  <si>
    <t>Split Kran Dapur</t>
  </si>
  <si>
    <t>Splti Kran Dapur</t>
  </si>
  <si>
    <t>Cat Kamar</t>
  </si>
  <si>
    <t>Renovasi</t>
  </si>
  <si>
    <t>Kunci Jendela, Kelengkapan Cat (Roller, amplas, dll)</t>
  </si>
  <si>
    <t>Inject Dana</t>
  </si>
  <si>
    <t>Inject Dana / Top Up</t>
  </si>
  <si>
    <t>Jasa Pemeliharaan Rumput</t>
  </si>
  <si>
    <t>Makan Siang Jasa Pemeliharaan Rumput</t>
  </si>
  <si>
    <t>Bensin Mesin Pemotong Rumput</t>
  </si>
  <si>
    <t>Jamuan Air Jasa Pemeliharaan Rumput</t>
  </si>
  <si>
    <t>Lem Pipa</t>
  </si>
  <si>
    <t>Listrik Juli</t>
  </si>
  <si>
    <t>Total Masuk</t>
  </si>
  <si>
    <t>Total Keluar</t>
  </si>
  <si>
    <t>Sisa Kas</t>
  </si>
  <si>
    <t>Total</t>
  </si>
  <si>
    <t>PADEBUOLO NEXT - Dashboard Kas Rumah Dinas</t>
  </si>
  <si>
    <t>Indikator</t>
  </si>
  <si>
    <t>Nilai</t>
  </si>
  <si>
    <t>Rayhan</t>
  </si>
  <si>
    <t>Azka</t>
  </si>
  <si>
    <t>Sisa Kas Total</t>
  </si>
  <si>
    <t>Jumlah Transaksi</t>
  </si>
  <si>
    <t>Komponen</t>
  </si>
  <si>
    <t>Indihome</t>
  </si>
  <si>
    <t>Air</t>
  </si>
  <si>
    <t>Iuran Bulanan</t>
  </si>
  <si>
    <t>Kebersihan</t>
  </si>
  <si>
    <t>Lainnya</t>
  </si>
  <si>
    <t>Panduan Upload Ulang Data Import</t>
  </si>
  <si>
    <t>1. File CSV utama untuk app adalah seed_transactions_import_ready.csv.</t>
  </si>
  <si>
    <t>2. Untuk upload Excel, pakai sheet Master Kas di file ini. Kolom Kategori sudah ditambahkan agar transaksi tidak masuk Lainnya.</t>
  </si>
  <si>
    <t>3. Kolom Catatan bisa dipakai untuk keterangan tambahan per transaksi. Kolom ini opsional dan bisa dikosongkan.</t>
  </si>
  <si>
    <t>4. Format tanggal sudah DD/MM/YYYY. Jangan ubah menjadi MM/DD/YYYY.</t>
  </si>
  <si>
    <t>5. Kalau upload ulang di app, gunakan opsi replace/ganti data lama agar tanggal yang kebalik ikut bersih.</t>
  </si>
  <si>
    <t>Cuci Karpet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</si>
</sst>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7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14" fontId="0" fillId="0" borderId="0" xfId="0" applyNumberFormat="1" applyFont="1" applyFill="1" applyBorder="1"/>
    <xf numFmtId="3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/>
    <xf numFmtId="3" fontId="2" fillId="3" borderId="0" xfId="0" applyNumberFormat="1" applyFont="1" applyFill="1" applyBorder="1"/>
    <xf numFmtId="0" fontId="3" fillId="2" borderId="0" xfId="0" applyNumberFormat="1" applyFont="1" applyFill="1" applyBorder="1"/>
    <xf numFmtId="3" fontId="1" fillId="2" borderId="0" xfId="0" applyNumberFormat="1" applyFont="1" applyFill="1" applyBorder="1" applyAlignment="1">
      <alignment horizontal="center"/>
    </xf>
    <xf numFmtId="3" fontId="1" fillId="2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/>
    </xf>
    <xf numFmtId="0" fontId="0" fillId="0" borderId="0" xfId="0"/>
    <xf numFmtId="165" fontId="1" fillId="2" borderId="0" xfId="1" applyNumberFormat="1" applyFont="1" applyFill="1" applyBorder="1" applyAlignment="1">
      <alignment horizontal="center" vertical="center"/>
    </xf>
    <xf numFmtId="165" fontId="0" fillId="0" borderId="0" xfId="1" applyNumberFormat="1" applyFont="1" applyFill="1" applyBorder="1"/>
    <xf numFmtId="165" fontId="0" fillId="0" borderId="0" xfId="1" applyNumberFormat="1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3"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KasTable" displayName="MasterKasTable" ref="A1:H59">
  <tableColumns count="8">
    <tableColumn id="1" xr3:uid="{00000000-0010-0000-0000-000001000000}" name="Tanggal"/>
    <tableColumn id="2" xr3:uid="{00000000-0010-0000-0000-000002000000}" name="Sumber Dana"/>
    <tableColumn id="3" xr3:uid="{00000000-0010-0000-0000-000003000000}" name="Keterangan"/>
    <tableColumn id="4" xr3:uid="{00000000-0010-0000-0000-000004000000}" name="Kategori"/>
    <tableColumn id="5" xr3:uid="{00000000-0010-0000-0000-000005000000}" name="Masuk" dataDxfId="2" dataCellStyle="Comma"/>
    <tableColumn id="6" xr3:uid="{00000000-0010-0000-0000-000006000000}" name="Keluar" dataDxfId="1" dataCellStyle="Comma"/>
    <tableColumn id="7" xr3:uid="{00000000-0010-0000-0000-000007000000}" name="Saldo" dataDxfId="0" dataCellStyle="Comma"/>
    <tableColumn id="8" xr3:uid="{00000000-0010-0000-0000-000008000000}" name="Catat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workbookViewId="0">
      <selection activeCell="F32" sqref="F32"/>
    </sheetView>
  </sheetViews>
  <sheetFormatPr defaultRowHeight="14"/>
  <cols>
    <col min="1" max="1" width="12" customWidth="1"/>
    <col min="2" max="2" width="16" customWidth="1"/>
    <col min="3" max="3" width="40" customWidth="1"/>
    <col min="4" max="4" width="22" customWidth="1"/>
    <col min="5" max="7" width="14" style="15" customWidth="1"/>
    <col min="8" max="8" width="28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13" t="s">
        <v>4</v>
      </c>
      <c r="F1" s="13" t="s">
        <v>5</v>
      </c>
      <c r="G1" s="13" t="s">
        <v>6</v>
      </c>
      <c r="H1" s="2" t="s">
        <v>7</v>
      </c>
    </row>
    <row r="2" spans="1:8">
      <c r="A2" s="3">
        <v>46122</v>
      </c>
      <c r="B2" t="s">
        <v>8</v>
      </c>
      <c r="C2" s="5" t="s">
        <v>9</v>
      </c>
      <c r="D2" t="s">
        <v>9</v>
      </c>
      <c r="E2" s="14">
        <v>2500000</v>
      </c>
      <c r="F2" s="14">
        <v>0</v>
      </c>
      <c r="G2" s="14">
        <v>2500000</v>
      </c>
      <c r="H2" s="5"/>
    </row>
    <row r="3" spans="1:8">
      <c r="A3" s="3">
        <v>46122</v>
      </c>
      <c r="B3" t="s">
        <v>10</v>
      </c>
      <c r="C3" s="5" t="s">
        <v>9</v>
      </c>
      <c r="D3" t="s">
        <v>9</v>
      </c>
      <c r="E3" s="14">
        <v>2500000</v>
      </c>
      <c r="F3" s="14">
        <v>0</v>
      </c>
      <c r="G3" s="14">
        <v>2500000</v>
      </c>
      <c r="H3" s="5"/>
    </row>
    <row r="4" spans="1:8">
      <c r="A4" s="3">
        <v>46123</v>
      </c>
      <c r="B4" t="s">
        <v>8</v>
      </c>
      <c r="C4" s="5" t="s">
        <v>11</v>
      </c>
      <c r="D4" t="s">
        <v>12</v>
      </c>
      <c r="E4" s="14">
        <v>0</v>
      </c>
      <c r="F4" s="14">
        <v>50000</v>
      </c>
      <c r="G4" s="14">
        <v>2450000</v>
      </c>
      <c r="H4" s="5"/>
    </row>
    <row r="5" spans="1:8">
      <c r="A5" s="3">
        <v>46123</v>
      </c>
      <c r="B5" t="s">
        <v>10</v>
      </c>
      <c r="C5" s="5" t="s">
        <v>11</v>
      </c>
      <c r="D5" t="s">
        <v>12</v>
      </c>
      <c r="E5" s="14">
        <v>0</v>
      </c>
      <c r="F5" s="14">
        <v>50000</v>
      </c>
      <c r="G5" s="14">
        <v>2450000</v>
      </c>
      <c r="H5" s="5"/>
    </row>
    <row r="6" spans="1:8">
      <c r="A6" s="3">
        <v>46132</v>
      </c>
      <c r="B6" t="s">
        <v>8</v>
      </c>
      <c r="C6" s="5" t="s">
        <v>13</v>
      </c>
      <c r="D6" t="s">
        <v>14</v>
      </c>
      <c r="E6" s="14">
        <v>0</v>
      </c>
      <c r="F6" s="14">
        <v>69200</v>
      </c>
      <c r="G6" s="14">
        <v>2380800</v>
      </c>
      <c r="H6" s="5"/>
    </row>
    <row r="7" spans="1:8">
      <c r="A7" s="3">
        <v>46133</v>
      </c>
      <c r="B7" t="s">
        <v>8</v>
      </c>
      <c r="C7" s="5" t="s">
        <v>15</v>
      </c>
      <c r="D7" t="s">
        <v>16</v>
      </c>
      <c r="E7" s="14">
        <v>0</v>
      </c>
      <c r="F7" s="14">
        <v>9000</v>
      </c>
      <c r="G7" s="14">
        <v>2371800</v>
      </c>
      <c r="H7" s="5"/>
    </row>
    <row r="8" spans="1:8">
      <c r="A8" s="3">
        <v>46133</v>
      </c>
      <c r="B8" t="s">
        <v>10</v>
      </c>
      <c r="C8" s="5" t="s">
        <v>15</v>
      </c>
      <c r="D8" t="s">
        <v>16</v>
      </c>
      <c r="E8" s="14">
        <v>0</v>
      </c>
      <c r="F8" s="14">
        <v>9000</v>
      </c>
      <c r="G8" s="14">
        <v>2441000</v>
      </c>
      <c r="H8" s="5"/>
    </row>
    <row r="9" spans="1:8">
      <c r="A9" s="3">
        <v>46133</v>
      </c>
      <c r="B9" t="s">
        <v>8</v>
      </c>
      <c r="C9" s="5" t="s">
        <v>17</v>
      </c>
      <c r="D9" t="s">
        <v>16</v>
      </c>
      <c r="E9" s="14">
        <v>0</v>
      </c>
      <c r="F9" s="14">
        <v>33900</v>
      </c>
      <c r="G9" s="14">
        <v>2337900</v>
      </c>
      <c r="H9" s="5"/>
    </row>
    <row r="10" spans="1:8">
      <c r="A10" s="3">
        <v>46133</v>
      </c>
      <c r="B10" t="s">
        <v>10</v>
      </c>
      <c r="C10" s="5" t="s">
        <v>17</v>
      </c>
      <c r="D10" t="s">
        <v>16</v>
      </c>
      <c r="E10" s="14">
        <v>0</v>
      </c>
      <c r="F10" s="14">
        <v>33900</v>
      </c>
      <c r="G10" s="14">
        <v>2407100</v>
      </c>
      <c r="H10" s="5"/>
    </row>
    <row r="11" spans="1:8">
      <c r="A11" s="3">
        <v>46134</v>
      </c>
      <c r="B11" t="s">
        <v>10</v>
      </c>
      <c r="C11" s="5" t="s">
        <v>18</v>
      </c>
      <c r="D11" t="s">
        <v>19</v>
      </c>
      <c r="E11" s="14">
        <v>0</v>
      </c>
      <c r="F11" s="14">
        <v>250000</v>
      </c>
      <c r="G11" s="14">
        <v>2157100</v>
      </c>
      <c r="H11" s="5"/>
    </row>
    <row r="12" spans="1:8">
      <c r="A12" s="3">
        <v>46134</v>
      </c>
      <c r="B12" t="s">
        <v>8</v>
      </c>
      <c r="C12" s="5" t="s">
        <v>18</v>
      </c>
      <c r="D12" t="s">
        <v>19</v>
      </c>
      <c r="E12" s="14">
        <v>0</v>
      </c>
      <c r="F12" s="14">
        <v>250000</v>
      </c>
      <c r="G12" s="14">
        <v>2087900</v>
      </c>
      <c r="H12" s="5"/>
    </row>
    <row r="13" spans="1:8">
      <c r="A13" s="3">
        <v>46135</v>
      </c>
      <c r="B13" t="s">
        <v>10</v>
      </c>
      <c r="C13" s="5" t="s">
        <v>20</v>
      </c>
      <c r="D13" t="s">
        <v>21</v>
      </c>
      <c r="E13" s="14">
        <v>0</v>
      </c>
      <c r="F13" s="14">
        <v>200000</v>
      </c>
      <c r="G13" s="14">
        <v>1957100</v>
      </c>
      <c r="H13" s="5"/>
    </row>
    <row r="14" spans="1:8">
      <c r="A14" s="3">
        <v>46134</v>
      </c>
      <c r="B14" t="s">
        <v>8</v>
      </c>
      <c r="C14" s="5" t="s">
        <v>22</v>
      </c>
      <c r="D14" t="s">
        <v>19</v>
      </c>
      <c r="E14" s="14">
        <v>0</v>
      </c>
      <c r="F14" s="14">
        <v>25000</v>
      </c>
      <c r="G14" s="14">
        <v>2062900</v>
      </c>
      <c r="H14" s="5"/>
    </row>
    <row r="15" spans="1:8">
      <c r="A15" s="3">
        <v>46134</v>
      </c>
      <c r="B15" t="s">
        <v>10</v>
      </c>
      <c r="C15" s="5" t="s">
        <v>22</v>
      </c>
      <c r="D15" t="s">
        <v>19</v>
      </c>
      <c r="E15" s="14">
        <v>0</v>
      </c>
      <c r="F15" s="14">
        <v>25000</v>
      </c>
      <c r="G15" s="14">
        <v>1932100</v>
      </c>
      <c r="H15" s="5"/>
    </row>
    <row r="16" spans="1:8">
      <c r="A16" s="3">
        <v>46143</v>
      </c>
      <c r="B16" t="s">
        <v>10</v>
      </c>
      <c r="C16" s="5" t="s">
        <v>23</v>
      </c>
      <c r="D16" t="s">
        <v>24</v>
      </c>
      <c r="E16" s="14">
        <v>0</v>
      </c>
      <c r="F16" s="14">
        <v>200000</v>
      </c>
      <c r="G16" s="14">
        <v>1732100</v>
      </c>
      <c r="H16" s="5"/>
    </row>
    <row r="17" spans="1:8">
      <c r="A17" s="3">
        <v>46143</v>
      </c>
      <c r="B17" t="s">
        <v>10</v>
      </c>
      <c r="C17" s="5" t="s">
        <v>25</v>
      </c>
      <c r="D17" t="s">
        <v>21</v>
      </c>
      <c r="E17" s="14">
        <v>0</v>
      </c>
      <c r="F17" s="14">
        <v>500000</v>
      </c>
      <c r="G17" s="14">
        <v>1232100</v>
      </c>
      <c r="H17" s="5"/>
    </row>
    <row r="18" spans="1:8">
      <c r="A18" s="3">
        <v>46143</v>
      </c>
      <c r="B18" t="s">
        <v>8</v>
      </c>
      <c r="C18" s="5" t="s">
        <v>23</v>
      </c>
      <c r="D18" t="s">
        <v>24</v>
      </c>
      <c r="E18" s="14">
        <v>0</v>
      </c>
      <c r="F18" s="14">
        <v>185000</v>
      </c>
      <c r="G18" s="14">
        <v>1877900</v>
      </c>
      <c r="H18" s="5"/>
    </row>
    <row r="19" spans="1:8">
      <c r="A19" s="3">
        <v>46143</v>
      </c>
      <c r="B19" t="s">
        <v>10</v>
      </c>
      <c r="C19" s="5" t="s">
        <v>26</v>
      </c>
      <c r="D19" t="s">
        <v>27</v>
      </c>
      <c r="E19" s="14">
        <v>0</v>
      </c>
      <c r="F19" s="14">
        <v>31000</v>
      </c>
      <c r="G19" s="14">
        <v>1201100</v>
      </c>
      <c r="H19" s="5"/>
    </row>
    <row r="20" spans="1:8">
      <c r="A20" s="3">
        <v>46162</v>
      </c>
      <c r="B20" t="s">
        <v>10</v>
      </c>
      <c r="C20" s="5" t="s">
        <v>28</v>
      </c>
      <c r="D20" t="s">
        <v>12</v>
      </c>
      <c r="E20" s="14">
        <v>0</v>
      </c>
      <c r="F20" s="14">
        <v>99345</v>
      </c>
      <c r="G20" s="14">
        <v>1101755</v>
      </c>
      <c r="H20" s="5"/>
    </row>
    <row r="21" spans="1:8">
      <c r="A21" s="3">
        <v>46162</v>
      </c>
      <c r="B21" t="s">
        <v>8</v>
      </c>
      <c r="C21" s="5" t="s">
        <v>28</v>
      </c>
      <c r="D21" t="s">
        <v>12</v>
      </c>
      <c r="E21" s="14">
        <v>0</v>
      </c>
      <c r="F21" s="14">
        <v>99345</v>
      </c>
      <c r="G21" s="14">
        <v>1778555</v>
      </c>
      <c r="H21" s="5"/>
    </row>
    <row r="22" spans="1:8">
      <c r="A22" s="3">
        <v>46174</v>
      </c>
      <c r="B22" t="s">
        <v>10</v>
      </c>
      <c r="C22" s="5" t="s">
        <v>29</v>
      </c>
      <c r="D22" t="s">
        <v>21</v>
      </c>
      <c r="E22" s="14">
        <v>0</v>
      </c>
      <c r="F22" s="14">
        <v>250000</v>
      </c>
      <c r="G22" s="14">
        <v>851755</v>
      </c>
      <c r="H22" s="5"/>
    </row>
    <row r="23" spans="1:8">
      <c r="A23" s="3">
        <v>46174</v>
      </c>
      <c r="B23" t="s">
        <v>8</v>
      </c>
      <c r="C23" s="5" t="s">
        <v>29</v>
      </c>
      <c r="D23" t="s">
        <v>21</v>
      </c>
      <c r="E23" s="14">
        <v>0</v>
      </c>
      <c r="F23" s="14">
        <v>250000</v>
      </c>
      <c r="G23" s="14">
        <v>1528555</v>
      </c>
      <c r="H23" s="5"/>
    </row>
    <row r="24" spans="1:8">
      <c r="A24" s="3">
        <v>46174</v>
      </c>
      <c r="B24" t="s">
        <v>10</v>
      </c>
      <c r="C24" s="5" t="s">
        <v>23</v>
      </c>
      <c r="D24" t="s">
        <v>24</v>
      </c>
      <c r="E24" s="14">
        <v>0</v>
      </c>
      <c r="F24" s="14">
        <v>245000</v>
      </c>
      <c r="G24" s="14">
        <v>606755</v>
      </c>
      <c r="H24" s="5"/>
    </row>
    <row r="25" spans="1:8">
      <c r="A25" s="3">
        <v>46174</v>
      </c>
      <c r="B25" t="s">
        <v>8</v>
      </c>
      <c r="C25" s="5" t="s">
        <v>23</v>
      </c>
      <c r="D25" t="s">
        <v>24</v>
      </c>
      <c r="E25" s="14">
        <v>0</v>
      </c>
      <c r="F25" s="14">
        <v>200000</v>
      </c>
      <c r="G25" s="14">
        <v>1328555</v>
      </c>
      <c r="H25" s="5"/>
    </row>
    <row r="26" spans="1:8">
      <c r="A26" s="3">
        <v>46174</v>
      </c>
      <c r="B26" t="s">
        <v>8</v>
      </c>
      <c r="C26" s="5" t="s">
        <v>28</v>
      </c>
      <c r="D26" t="s">
        <v>12</v>
      </c>
      <c r="E26" s="14">
        <v>0</v>
      </c>
      <c r="F26" s="14">
        <v>155000</v>
      </c>
      <c r="G26" s="14">
        <v>1173555</v>
      </c>
      <c r="H26" s="5"/>
    </row>
    <row r="27" spans="1:8">
      <c r="A27" s="3">
        <v>46174</v>
      </c>
      <c r="B27" t="s">
        <v>10</v>
      </c>
      <c r="C27" s="5" t="s">
        <v>28</v>
      </c>
      <c r="D27" t="s">
        <v>12</v>
      </c>
      <c r="E27" s="14">
        <v>0</v>
      </c>
      <c r="F27" s="14">
        <v>155000</v>
      </c>
      <c r="G27" s="14">
        <v>451755</v>
      </c>
      <c r="H27" s="5"/>
    </row>
    <row r="28" spans="1:8">
      <c r="A28" s="3">
        <v>46174</v>
      </c>
      <c r="B28" t="s">
        <v>8</v>
      </c>
      <c r="C28" s="5" t="s">
        <v>26</v>
      </c>
      <c r="D28" t="s">
        <v>27</v>
      </c>
      <c r="E28" s="14">
        <v>0</v>
      </c>
      <c r="F28" s="14">
        <v>46500</v>
      </c>
      <c r="G28" s="14">
        <v>1127055</v>
      </c>
      <c r="H28" s="5"/>
    </row>
    <row r="29" spans="1:8">
      <c r="A29" s="3">
        <v>46174</v>
      </c>
      <c r="B29" t="s">
        <v>10</v>
      </c>
      <c r="C29" s="5" t="s">
        <v>26</v>
      </c>
      <c r="D29" t="s">
        <v>27</v>
      </c>
      <c r="E29" s="14">
        <v>0</v>
      </c>
      <c r="F29" s="14">
        <v>46500</v>
      </c>
      <c r="G29" s="14">
        <v>405255</v>
      </c>
      <c r="H29" s="5"/>
    </row>
    <row r="30" spans="1:8">
      <c r="A30" s="3">
        <v>46201</v>
      </c>
      <c r="B30" t="s">
        <v>8</v>
      </c>
      <c r="C30" s="5" t="s">
        <v>30</v>
      </c>
      <c r="D30" t="s">
        <v>31</v>
      </c>
      <c r="E30" s="14">
        <v>0</v>
      </c>
      <c r="F30" s="14">
        <v>250000</v>
      </c>
      <c r="G30" s="14">
        <v>877055</v>
      </c>
      <c r="H30" s="5"/>
    </row>
    <row r="31" spans="1:8">
      <c r="A31" s="3">
        <v>46201</v>
      </c>
      <c r="B31" t="s">
        <v>10</v>
      </c>
      <c r="C31" s="5" t="s">
        <v>30</v>
      </c>
      <c r="D31" t="s">
        <v>31</v>
      </c>
      <c r="E31" s="14">
        <v>0</v>
      </c>
      <c r="F31" s="14">
        <v>250000</v>
      </c>
      <c r="G31" s="14">
        <v>155255</v>
      </c>
      <c r="H31" s="5"/>
    </row>
    <row r="32" spans="1:8">
      <c r="A32" s="3">
        <v>46201</v>
      </c>
      <c r="B32" t="s">
        <v>10</v>
      </c>
      <c r="C32" s="5" t="s">
        <v>32</v>
      </c>
      <c r="D32" t="s">
        <v>31</v>
      </c>
      <c r="E32" s="14">
        <v>0</v>
      </c>
      <c r="F32" s="14">
        <v>50000</v>
      </c>
      <c r="G32" s="14">
        <v>105255</v>
      </c>
      <c r="H32" s="5"/>
    </row>
    <row r="33" spans="1:8">
      <c r="A33" s="3">
        <v>46201</v>
      </c>
      <c r="B33" t="s">
        <v>10</v>
      </c>
      <c r="C33" s="5" t="s">
        <v>33</v>
      </c>
      <c r="D33" t="s">
        <v>31</v>
      </c>
      <c r="E33" s="14">
        <v>0</v>
      </c>
      <c r="F33" s="14">
        <v>5000</v>
      </c>
      <c r="G33" s="14">
        <v>100255</v>
      </c>
      <c r="H33" s="5"/>
    </row>
    <row r="34" spans="1:8">
      <c r="A34" s="3">
        <v>46201</v>
      </c>
      <c r="B34" t="s">
        <v>10</v>
      </c>
      <c r="C34" s="5" t="s">
        <v>34</v>
      </c>
      <c r="D34" t="s">
        <v>16</v>
      </c>
      <c r="E34" s="14">
        <v>0</v>
      </c>
      <c r="F34" s="14">
        <v>22500</v>
      </c>
      <c r="G34" s="14">
        <v>77755</v>
      </c>
      <c r="H34" s="5"/>
    </row>
    <row r="35" spans="1:8">
      <c r="A35" s="3">
        <v>46201</v>
      </c>
      <c r="B35" t="s">
        <v>8</v>
      </c>
      <c r="C35" s="5" t="s">
        <v>35</v>
      </c>
      <c r="D35" t="s">
        <v>16</v>
      </c>
      <c r="E35" s="14">
        <v>0</v>
      </c>
      <c r="F35" s="14">
        <v>22500</v>
      </c>
      <c r="G35" s="14">
        <v>854555</v>
      </c>
      <c r="H35" s="5"/>
    </row>
    <row r="36" spans="1:8">
      <c r="A36" s="3">
        <v>46201</v>
      </c>
      <c r="B36" t="s">
        <v>8</v>
      </c>
      <c r="C36" s="5" t="s">
        <v>36</v>
      </c>
      <c r="D36" t="s">
        <v>37</v>
      </c>
      <c r="E36" s="14">
        <v>0</v>
      </c>
      <c r="F36" s="14">
        <v>168000</v>
      </c>
      <c r="G36" s="14">
        <v>686555</v>
      </c>
      <c r="H36" s="5"/>
    </row>
    <row r="37" spans="1:8" ht="28">
      <c r="A37" s="3">
        <v>46201</v>
      </c>
      <c r="B37" t="s">
        <v>8</v>
      </c>
      <c r="C37" s="5" t="s">
        <v>38</v>
      </c>
      <c r="D37" t="s">
        <v>37</v>
      </c>
      <c r="E37" s="14">
        <v>0</v>
      </c>
      <c r="F37" s="14">
        <v>85280</v>
      </c>
      <c r="G37" s="14">
        <v>601275</v>
      </c>
      <c r="H37" s="5"/>
    </row>
    <row r="38" spans="1:8">
      <c r="A38" s="3">
        <v>46204</v>
      </c>
      <c r="B38" t="s">
        <v>10</v>
      </c>
      <c r="C38" s="5" t="s">
        <v>39</v>
      </c>
      <c r="D38" t="s">
        <v>40</v>
      </c>
      <c r="E38" s="14">
        <v>1000000</v>
      </c>
      <c r="F38" s="14">
        <v>0</v>
      </c>
      <c r="G38" s="14">
        <v>1077755</v>
      </c>
      <c r="H38" s="5"/>
    </row>
    <row r="39" spans="1:8">
      <c r="A39" s="3">
        <v>46204</v>
      </c>
      <c r="B39" t="s">
        <v>10</v>
      </c>
      <c r="C39" s="5" t="s">
        <v>23</v>
      </c>
      <c r="D39" t="s">
        <v>24</v>
      </c>
      <c r="E39" s="14">
        <v>0</v>
      </c>
      <c r="F39" s="14">
        <v>245000</v>
      </c>
      <c r="G39" s="14">
        <v>832755</v>
      </c>
      <c r="H39" s="5"/>
    </row>
    <row r="40" spans="1:8">
      <c r="A40" s="3">
        <v>46204</v>
      </c>
      <c r="B40" t="s">
        <v>8</v>
      </c>
      <c r="C40" s="5" t="s">
        <v>23</v>
      </c>
      <c r="D40" t="s">
        <v>24</v>
      </c>
      <c r="E40" s="14">
        <v>0</v>
      </c>
      <c r="F40" s="14">
        <v>200000</v>
      </c>
      <c r="G40" s="14">
        <v>401275</v>
      </c>
      <c r="H40" s="5"/>
    </row>
    <row r="41" spans="1:8">
      <c r="A41" s="3">
        <v>46208</v>
      </c>
      <c r="B41" t="s">
        <v>8</v>
      </c>
      <c r="C41" s="5" t="s">
        <v>39</v>
      </c>
      <c r="D41" t="s">
        <v>40</v>
      </c>
      <c r="E41" s="14">
        <v>1000000</v>
      </c>
      <c r="F41" s="14">
        <v>0</v>
      </c>
      <c r="G41" s="14">
        <v>1401275</v>
      </c>
      <c r="H41" s="5"/>
    </row>
    <row r="42" spans="1:8">
      <c r="A42" s="3">
        <v>46208</v>
      </c>
      <c r="B42" t="s">
        <v>8</v>
      </c>
      <c r="C42" s="5" t="s">
        <v>41</v>
      </c>
      <c r="D42" t="s">
        <v>19</v>
      </c>
      <c r="E42" s="14">
        <v>0</v>
      </c>
      <c r="F42" s="14">
        <v>150000</v>
      </c>
      <c r="G42" s="14">
        <v>1251275</v>
      </c>
      <c r="H42" s="5"/>
    </row>
    <row r="43" spans="1:8">
      <c r="A43" s="3">
        <v>46208</v>
      </c>
      <c r="B43" t="s">
        <v>10</v>
      </c>
      <c r="C43" s="5" t="s">
        <v>41</v>
      </c>
      <c r="D43" t="s">
        <v>19</v>
      </c>
      <c r="E43" s="14">
        <v>0</v>
      </c>
      <c r="F43" s="14">
        <v>150000</v>
      </c>
      <c r="G43" s="14">
        <v>682755</v>
      </c>
      <c r="H43" s="5"/>
    </row>
    <row r="44" spans="1:8">
      <c r="A44" s="3">
        <v>46208</v>
      </c>
      <c r="B44" t="s">
        <v>10</v>
      </c>
      <c r="C44" s="5" t="s">
        <v>42</v>
      </c>
      <c r="D44" t="s">
        <v>19</v>
      </c>
      <c r="E44" s="14">
        <v>0</v>
      </c>
      <c r="F44" s="14">
        <v>11000</v>
      </c>
      <c r="G44" s="14">
        <v>671755</v>
      </c>
      <c r="H44" s="5"/>
    </row>
    <row r="45" spans="1:8">
      <c r="A45" s="3">
        <v>46208</v>
      </c>
      <c r="B45" t="s">
        <v>10</v>
      </c>
      <c r="C45" s="5" t="s">
        <v>43</v>
      </c>
      <c r="D45" t="s">
        <v>19</v>
      </c>
      <c r="E45" s="14">
        <v>0</v>
      </c>
      <c r="F45" s="14">
        <v>10000</v>
      </c>
      <c r="G45" s="14">
        <v>661755</v>
      </c>
      <c r="H45" s="5"/>
    </row>
    <row r="46" spans="1:8">
      <c r="A46" s="3">
        <v>46208</v>
      </c>
      <c r="B46" t="s">
        <v>10</v>
      </c>
      <c r="C46" s="5" t="s">
        <v>44</v>
      </c>
      <c r="D46" t="s">
        <v>27</v>
      </c>
      <c r="E46" s="14">
        <v>0</v>
      </c>
      <c r="F46" s="14">
        <v>7000</v>
      </c>
      <c r="G46" s="14">
        <v>654755</v>
      </c>
      <c r="H46" s="5"/>
    </row>
    <row r="47" spans="1:8">
      <c r="A47" s="3">
        <v>46208</v>
      </c>
      <c r="B47" t="s">
        <v>8</v>
      </c>
      <c r="C47" s="5" t="s">
        <v>42</v>
      </c>
      <c r="D47" t="s">
        <v>19</v>
      </c>
      <c r="E47" s="14">
        <v>0</v>
      </c>
      <c r="F47" s="14">
        <v>11000</v>
      </c>
      <c r="G47" s="14">
        <v>1240275</v>
      </c>
      <c r="H47" s="5"/>
    </row>
    <row r="48" spans="1:8">
      <c r="A48" s="3">
        <v>46208</v>
      </c>
      <c r="B48" t="s">
        <v>8</v>
      </c>
      <c r="C48" s="5" t="s">
        <v>43</v>
      </c>
      <c r="D48" t="s">
        <v>19</v>
      </c>
      <c r="E48" s="14">
        <v>0</v>
      </c>
      <c r="F48" s="14">
        <v>10000</v>
      </c>
      <c r="G48" s="14">
        <v>1230275</v>
      </c>
      <c r="H48" s="5"/>
    </row>
    <row r="49" spans="1:8">
      <c r="A49" s="3">
        <v>46208</v>
      </c>
      <c r="B49" t="s">
        <v>8</v>
      </c>
      <c r="C49" s="5" t="s">
        <v>44</v>
      </c>
      <c r="D49" t="s">
        <v>27</v>
      </c>
      <c r="E49" s="14">
        <v>0</v>
      </c>
      <c r="F49" s="14">
        <v>7000</v>
      </c>
      <c r="G49" s="14">
        <v>1223275</v>
      </c>
      <c r="H49" s="5"/>
    </row>
    <row r="50" spans="1:8">
      <c r="A50" s="3">
        <v>46208</v>
      </c>
      <c r="B50" t="s">
        <v>8</v>
      </c>
      <c r="C50" s="5" t="s">
        <v>45</v>
      </c>
      <c r="D50" t="s">
        <v>16</v>
      </c>
      <c r="E50" s="14">
        <v>0</v>
      </c>
      <c r="F50" s="14">
        <v>7000</v>
      </c>
      <c r="G50" s="14">
        <v>1216275</v>
      </c>
      <c r="H50" s="5"/>
    </row>
    <row r="51" spans="1:8">
      <c r="A51" s="3">
        <v>46208</v>
      </c>
      <c r="B51" t="s">
        <v>10</v>
      </c>
      <c r="C51" s="5" t="s">
        <v>45</v>
      </c>
      <c r="D51" t="s">
        <v>16</v>
      </c>
      <c r="E51" s="14">
        <v>0</v>
      </c>
      <c r="F51" s="14">
        <v>5250</v>
      </c>
      <c r="G51" s="14">
        <v>1211025</v>
      </c>
      <c r="H51" s="5"/>
    </row>
    <row r="52" spans="1:8">
      <c r="A52" s="3">
        <v>46210</v>
      </c>
      <c r="B52" t="s">
        <v>10</v>
      </c>
      <c r="C52" s="5" t="s">
        <v>46</v>
      </c>
      <c r="D52" t="s">
        <v>21</v>
      </c>
      <c r="E52" s="14">
        <v>0</v>
      </c>
      <c r="F52" s="14">
        <v>250000</v>
      </c>
      <c r="G52" s="14">
        <v>404755</v>
      </c>
      <c r="H52" s="5"/>
    </row>
    <row r="53" spans="1:8">
      <c r="A53" s="3">
        <v>46210</v>
      </c>
      <c r="B53" t="s">
        <v>8</v>
      </c>
      <c r="C53" s="5" t="s">
        <v>46</v>
      </c>
      <c r="D53" t="s">
        <v>21</v>
      </c>
      <c r="E53" s="14">
        <v>0</v>
      </c>
      <c r="F53" s="14">
        <v>250000</v>
      </c>
      <c r="G53" s="14">
        <v>961025</v>
      </c>
      <c r="H53" s="5"/>
    </row>
    <row r="54" spans="1:8">
      <c r="A54" s="3">
        <v>46210</v>
      </c>
      <c r="B54" t="s">
        <v>8</v>
      </c>
      <c r="C54" s="5" t="s">
        <v>26</v>
      </c>
      <c r="D54" t="s">
        <v>27</v>
      </c>
      <c r="E54" s="14">
        <v>0</v>
      </c>
      <c r="F54" s="14">
        <v>105500</v>
      </c>
      <c r="G54" s="14">
        <v>855525</v>
      </c>
      <c r="H54" s="5"/>
    </row>
    <row r="55" spans="1:8">
      <c r="A55" s="3">
        <v>46210</v>
      </c>
      <c r="B55" t="s">
        <v>10</v>
      </c>
      <c r="C55" s="5" t="s">
        <v>26</v>
      </c>
      <c r="D55" t="s">
        <v>27</v>
      </c>
      <c r="E55" s="14">
        <v>0</v>
      </c>
      <c r="F55" s="14">
        <v>105500</v>
      </c>
      <c r="G55" s="14">
        <v>299255</v>
      </c>
      <c r="H55" s="5"/>
    </row>
    <row r="56" spans="1:8">
      <c r="A56" s="16">
        <v>46215</v>
      </c>
      <c r="B56" t="s">
        <v>8</v>
      </c>
      <c r="C56" t="s">
        <v>70</v>
      </c>
      <c r="D56" t="s">
        <v>14</v>
      </c>
      <c r="E56" s="15">
        <v>0</v>
      </c>
      <c r="F56" s="15">
        <v>25000</v>
      </c>
      <c r="G56" s="15">
        <f>G54-MasterKasTable[[#This Row],[Keluar]]</f>
        <v>830525</v>
      </c>
    </row>
    <row r="57" spans="1:8">
      <c r="A57" s="16">
        <v>46215</v>
      </c>
      <c r="B57" t="s">
        <v>10</v>
      </c>
      <c r="C57" t="s">
        <v>70</v>
      </c>
      <c r="D57" t="s">
        <v>14</v>
      </c>
      <c r="E57" s="15">
        <v>0</v>
      </c>
      <c r="F57" s="15">
        <v>25000</v>
      </c>
      <c r="G57" s="15">
        <f>G55-MasterKasTable[[#This Row],[Keluar]]</f>
        <v>274255</v>
      </c>
    </row>
    <row r="58" spans="1:8">
      <c r="A58" s="16">
        <v>46215</v>
      </c>
      <c r="B58" t="s">
        <v>8</v>
      </c>
      <c r="C58" t="s">
        <v>28</v>
      </c>
      <c r="D58" t="s">
        <v>12</v>
      </c>
      <c r="E58" s="15">
        <v>0</v>
      </c>
      <c r="F58" s="15">
        <v>153000</v>
      </c>
      <c r="G58" s="15">
        <f>G56-MasterKasTable[[#This Row],[Keluar]]</f>
        <v>677525</v>
      </c>
    </row>
    <row r="59" spans="1:8">
      <c r="A59" s="16">
        <v>46215</v>
      </c>
      <c r="B59" t="s">
        <v>10</v>
      </c>
      <c r="C59" t="s">
        <v>28</v>
      </c>
      <c r="D59" t="s">
        <v>12</v>
      </c>
      <c r="E59" s="15">
        <v>0</v>
      </c>
      <c r="F59" s="15">
        <v>153000</v>
      </c>
      <c r="G59" s="15">
        <f>G57-MasterKasTable[[#This Row],[Keluar]]</f>
        <v>121255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Referensi!$A$2:$A$15</xm:f>
          </x14:formula1>
          <xm:sqref>D2:D59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"/>
  <cols>
    <col min="1" max="4" width="18" customWidth="1"/>
  </cols>
  <sheetData>
    <row r="1" spans="1:4">
      <c r="A1" s="2" t="s">
        <v>1</v>
      </c>
      <c r="B1" s="2" t="s">
        <v>47</v>
      </c>
      <c r="C1" s="2" t="s">
        <v>48</v>
      </c>
      <c r="D1" s="2" t="s">
        <v>49</v>
      </c>
    </row>
    <row r="2" spans="1:4">
      <c r="A2" t="s">
        <v>8</v>
      </c>
      <c r="B2" s="4">
        <f>SUMIFS('Master Kas'!E:E,'Master Kas'!B:B,A2)</f>
        <v>3500000</v>
      </c>
      <c r="C2" s="4">
        <f>SUMIFS('Master Kas'!F:F,'Master Kas'!B:B,A2)</f>
        <v>2817225</v>
      </c>
      <c r="D2" s="4">
        <f>B2-C2</f>
        <v>682775</v>
      </c>
    </row>
    <row r="3" spans="1:4">
      <c r="A3" t="s">
        <v>10</v>
      </c>
      <c r="B3" s="4">
        <f>SUMIFS('Master Kas'!E:E,'Master Kas'!B:B,A3)</f>
        <v>3500000</v>
      </c>
      <c r="C3" s="4">
        <f>SUMIFS('Master Kas'!F:F,'Master Kas'!B:B,A3)</f>
        <v>3383995</v>
      </c>
      <c r="D3" s="4">
        <f>B3-C3</f>
        <v>116005</v>
      </c>
    </row>
    <row r="4" spans="1:4">
      <c r="A4" s="6" t="s">
        <v>50</v>
      </c>
      <c r="B4" s="7">
        <f>SUM(B2:B3)</f>
        <v>7000000</v>
      </c>
      <c r="C4" s="7">
        <f>SUM(C2:C3)</f>
        <v>6201220</v>
      </c>
      <c r="D4" s="7">
        <f>SUM(D2:D3)</f>
        <v>798780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sqref="A1:D1"/>
    </sheetView>
  </sheetViews>
  <sheetFormatPr defaultRowHeight="14"/>
  <cols>
    <col min="1" max="2" width="26" customWidth="1"/>
    <col min="4" max="5" width="18" customWidth="1"/>
  </cols>
  <sheetData>
    <row r="1" spans="1:5" ht="18">
      <c r="A1" s="11" t="s">
        <v>51</v>
      </c>
      <c r="B1" s="12"/>
      <c r="C1" s="12"/>
      <c r="D1" s="12"/>
    </row>
    <row r="3" spans="1:5">
      <c r="A3" s="2" t="s">
        <v>52</v>
      </c>
      <c r="B3" s="2" t="s">
        <v>53</v>
      </c>
      <c r="D3" s="2" t="s">
        <v>1</v>
      </c>
      <c r="E3" s="2" t="s">
        <v>49</v>
      </c>
    </row>
    <row r="4" spans="1:5">
      <c r="A4" t="s">
        <v>47</v>
      </c>
      <c r="B4" s="4">
        <f>SUM('Master Kas'!E:E)</f>
        <v>7000000</v>
      </c>
      <c r="D4" t="s">
        <v>54</v>
      </c>
      <c r="E4" s="4">
        <f>'Sisa Kas'!D2</f>
        <v>682775</v>
      </c>
    </row>
    <row r="5" spans="1:5">
      <c r="A5" t="s">
        <v>48</v>
      </c>
      <c r="B5" s="4">
        <f>SUM('Master Kas'!F:F)</f>
        <v>6201220</v>
      </c>
      <c r="D5" t="s">
        <v>55</v>
      </c>
      <c r="E5" s="4">
        <f>'Sisa Kas'!D3</f>
        <v>116005</v>
      </c>
    </row>
    <row r="6" spans="1:5">
      <c r="A6" t="s">
        <v>56</v>
      </c>
      <c r="B6" s="4">
        <f>B4-B5</f>
        <v>798780</v>
      </c>
    </row>
    <row r="7" spans="1:5">
      <c r="A7" t="s">
        <v>57</v>
      </c>
      <c r="B7">
        <f>COUNTA('Master Kas'!A2:A59)</f>
        <v>58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/>
  </sheetViews>
  <sheetFormatPr defaultRowHeight="14"/>
  <cols>
    <col min="1" max="2" width="18" customWidth="1"/>
  </cols>
  <sheetData>
    <row r="1" spans="1:2">
      <c r="A1" s="1" t="s">
        <v>54</v>
      </c>
      <c r="B1" s="1"/>
    </row>
    <row r="2" spans="1:2">
      <c r="A2" s="2" t="s">
        <v>58</v>
      </c>
      <c r="B2" s="2" t="s">
        <v>50</v>
      </c>
    </row>
    <row r="3" spans="1:2">
      <c r="A3" t="s">
        <v>24</v>
      </c>
      <c r="B3" s="4">
        <v>200000</v>
      </c>
    </row>
    <row r="4" spans="1:2">
      <c r="A4" t="s">
        <v>59</v>
      </c>
      <c r="B4" s="4">
        <v>165000</v>
      </c>
    </row>
    <row r="5" spans="1:2">
      <c r="A5" t="s">
        <v>21</v>
      </c>
      <c r="B5" s="4">
        <v>300000</v>
      </c>
    </row>
    <row r="6" spans="1:2">
      <c r="A6" t="s">
        <v>60</v>
      </c>
      <c r="B6" s="4">
        <v>50000</v>
      </c>
    </row>
    <row r="7" spans="1:2">
      <c r="A7" s="6" t="s">
        <v>50</v>
      </c>
      <c r="B7" s="7">
        <f>SUM(B3:B6)</f>
        <v>715000</v>
      </c>
    </row>
    <row r="8" spans="1:2">
      <c r="B8" s="4"/>
    </row>
    <row r="9" spans="1:2">
      <c r="A9" s="1" t="s">
        <v>55</v>
      </c>
      <c r="B9" s="9"/>
    </row>
    <row r="10" spans="1:2">
      <c r="A10" s="2" t="s">
        <v>58</v>
      </c>
      <c r="B10" s="10" t="s">
        <v>50</v>
      </c>
    </row>
    <row r="11" spans="1:2">
      <c r="A11" t="s">
        <v>24</v>
      </c>
      <c r="B11" s="4">
        <v>245000</v>
      </c>
    </row>
    <row r="12" spans="1:2">
      <c r="A12" t="s">
        <v>59</v>
      </c>
      <c r="B12" s="4">
        <v>165000</v>
      </c>
    </row>
    <row r="13" spans="1:2">
      <c r="A13" t="s">
        <v>21</v>
      </c>
      <c r="B13" s="4">
        <v>300000</v>
      </c>
    </row>
    <row r="14" spans="1:2">
      <c r="A14" t="s">
        <v>60</v>
      </c>
      <c r="B14" s="4">
        <v>50000</v>
      </c>
    </row>
    <row r="15" spans="1:2">
      <c r="A15" s="6" t="s">
        <v>50</v>
      </c>
      <c r="B15" s="7">
        <f>SUM(B11:B14)</f>
        <v>760000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5"/>
  <sheetViews>
    <sheetView workbookViewId="0"/>
  </sheetViews>
  <sheetFormatPr defaultRowHeight="14"/>
  <cols>
    <col min="1" max="1" width="24" customWidth="1"/>
  </cols>
  <sheetData>
    <row r="1" spans="1:1">
      <c r="A1" s="1" t="s">
        <v>3</v>
      </c>
    </row>
    <row r="2" spans="1:1">
      <c r="A2" t="s">
        <v>9</v>
      </c>
    </row>
    <row r="3" spans="1:1">
      <c r="A3" t="s">
        <v>40</v>
      </c>
    </row>
    <row r="4" spans="1:1">
      <c r="A4" t="s">
        <v>61</v>
      </c>
    </row>
    <row r="5" spans="1:1">
      <c r="A5" t="s">
        <v>24</v>
      </c>
    </row>
    <row r="6" spans="1:1">
      <c r="A6" t="s">
        <v>12</v>
      </c>
    </row>
    <row r="7" spans="1:1">
      <c r="A7" t="s">
        <v>21</v>
      </c>
    </row>
    <row r="8" spans="1:1">
      <c r="A8" t="s">
        <v>27</v>
      </c>
    </row>
    <row r="9" spans="1:1">
      <c r="A9" t="s">
        <v>14</v>
      </c>
    </row>
    <row r="10" spans="1:1">
      <c r="A10" t="s">
        <v>16</v>
      </c>
    </row>
    <row r="11" spans="1:1">
      <c r="A11" t="s">
        <v>19</v>
      </c>
    </row>
    <row r="12" spans="1:1">
      <c r="A12" t="s">
        <v>37</v>
      </c>
    </row>
    <row r="13" spans="1:1">
      <c r="A13" t="s">
        <v>31</v>
      </c>
    </row>
    <row r="14" spans="1:1">
      <c r="A14" t="s">
        <v>62</v>
      </c>
    </row>
    <row r="15" spans="1:1">
      <c r="A15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"/>
  <sheetViews>
    <sheetView topLeftCell="A4" workbookViewId="0"/>
  </sheetViews>
  <sheetFormatPr defaultRowHeight="14"/>
  <cols>
    <col min="1" max="1" width="95" customWidth="1"/>
  </cols>
  <sheetData>
    <row r="1" spans="1:1" ht="18">
      <c r="A1" s="8" t="s">
        <v>64</v>
      </c>
    </row>
    <row r="2" spans="1:1">
      <c r="A2" s="5" t="s">
        <v>65</v>
      </c>
    </row>
    <row r="3" spans="1:1" ht="28">
      <c r="A3" s="5" t="s">
        <v>66</v>
      </c>
    </row>
    <row r="4" spans="1:1">
      <c r="A4" s="5" t="s">
        <v>67</v>
      </c>
    </row>
    <row r="5" spans="1:1">
      <c r="A5" s="5" t="s">
        <v>68</v>
      </c>
    </row>
    <row r="6" spans="1:1">
      <c r="A6" s="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Kas</vt:lpstr>
      <vt:lpstr>Sisa Kas</vt:lpstr>
      <vt:lpstr>Dashboard</vt:lpstr>
      <vt:lpstr>Biaya Bulanan</vt:lpstr>
      <vt:lpstr>Referensi</vt:lpstr>
      <vt:lpstr>Panduan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AZKA SYAFRIZAL</cp:lastModifiedBy>
  <dcterms:modified xsi:type="dcterms:W3CDTF">2026-07-15T00:36:16Z</dcterms:modified>
</cp:coreProperties>
</file>